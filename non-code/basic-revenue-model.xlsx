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ndan.roy/Desktop/"/>
    </mc:Choice>
  </mc:AlternateContent>
  <xr:revisionPtr revIDLastSave="0" documentId="13_ncr:1_{268F5284-3986-BA40-9E61-F2BEC818BAC9}" xr6:coauthVersionLast="47" xr6:coauthVersionMax="47" xr10:uidLastSave="{00000000-0000-0000-0000-000000000000}"/>
  <bookViews>
    <workbookView xWindow="0" yWindow="740" windowWidth="25820" windowHeight="13900" xr2:uid="{8C0A56A7-6F49-5C4A-B1E6-1B6A522FC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17" i="1" s="1"/>
  <c r="D19" i="1"/>
  <c r="D23" i="1"/>
  <c r="D26" i="1" s="1"/>
  <c r="E10" i="1"/>
  <c r="E17" i="1" l="1"/>
  <c r="E25" i="1" s="1"/>
  <c r="D20" i="1"/>
  <c r="E15" i="1" s="1"/>
  <c r="E19" i="1" s="1"/>
  <c r="D25" i="1"/>
  <c r="D27" i="1" s="1"/>
  <c r="E23" i="1" l="1"/>
  <c r="E26" i="1" s="1"/>
  <c r="E27" i="1" s="1"/>
  <c r="F10" i="1"/>
  <c r="F17" i="1" s="1"/>
  <c r="F25" i="1" s="1"/>
  <c r="E20" i="1"/>
  <c r="F15" i="1" s="1"/>
  <c r="G10" i="1" l="1"/>
  <c r="G17" i="1" s="1"/>
  <c r="G25" i="1" s="1"/>
  <c r="F19" i="1"/>
  <c r="F23" i="1"/>
  <c r="F26" i="1" s="1"/>
  <c r="F27" i="1" s="1"/>
  <c r="H10" i="1" l="1"/>
  <c r="H17" i="1" s="1"/>
  <c r="H25" i="1" s="1"/>
  <c r="F20" i="1"/>
  <c r="G15" i="1" s="1"/>
  <c r="G23" i="1" s="1"/>
  <c r="I10" i="1" l="1"/>
  <c r="I17" i="1" s="1"/>
  <c r="I25" i="1" s="1"/>
  <c r="G26" i="1"/>
  <c r="G27" i="1" s="1"/>
  <c r="G19" i="1"/>
  <c r="J10" i="1" l="1"/>
  <c r="J17" i="1" s="1"/>
  <c r="J25" i="1" s="1"/>
  <c r="G20" i="1"/>
  <c r="H15" i="1" s="1"/>
  <c r="K10" i="1" l="1"/>
  <c r="K17" i="1" s="1"/>
  <c r="K25" i="1" s="1"/>
  <c r="H19" i="1"/>
  <c r="H20" i="1" s="1"/>
  <c r="H23" i="1"/>
  <c r="H26" i="1" s="1"/>
  <c r="H27" i="1" s="1"/>
  <c r="L10" i="1" l="1"/>
  <c r="L17" i="1" s="1"/>
  <c r="L25" i="1" s="1"/>
  <c r="I15" i="1"/>
  <c r="M10" i="1" l="1"/>
  <c r="M17" i="1" s="1"/>
  <c r="M25" i="1" s="1"/>
  <c r="I19" i="1"/>
  <c r="I20" i="1" s="1"/>
  <c r="J15" i="1" s="1"/>
  <c r="I23" i="1"/>
  <c r="I26" i="1" s="1"/>
  <c r="I27" i="1" s="1"/>
  <c r="O10" i="1" l="1"/>
  <c r="N10" i="1"/>
  <c r="N17" i="1" s="1"/>
  <c r="N25" i="1" s="1"/>
  <c r="J23" i="1"/>
  <c r="J26" i="1" s="1"/>
  <c r="J27" i="1" s="1"/>
  <c r="J19" i="1"/>
  <c r="J20" i="1" s="1"/>
  <c r="K15" i="1" s="1"/>
  <c r="O17" i="1" l="1"/>
  <c r="O25" i="1" s="1"/>
  <c r="K19" i="1"/>
  <c r="K23" i="1"/>
  <c r="K26" i="1" s="1"/>
  <c r="K27" i="1" s="1"/>
  <c r="K20" i="1" l="1"/>
  <c r="L15" i="1" s="1"/>
  <c r="L23" i="1" l="1"/>
  <c r="L26" i="1" s="1"/>
  <c r="L27" i="1" s="1"/>
  <c r="L19" i="1"/>
  <c r="L20" i="1" l="1"/>
  <c r="M15" i="1" s="1"/>
  <c r="M19" i="1" l="1"/>
  <c r="M23" i="1"/>
  <c r="M26" i="1" s="1"/>
  <c r="M27" i="1" s="1"/>
  <c r="M20" i="1" l="1"/>
  <c r="N15" i="1" s="1"/>
  <c r="N23" i="1" l="1"/>
  <c r="N26" i="1" s="1"/>
  <c r="N27" i="1" s="1"/>
  <c r="N19" i="1"/>
  <c r="N20" i="1" l="1"/>
  <c r="O15" i="1" s="1"/>
  <c r="O19" i="1" l="1"/>
  <c r="O20" i="1" s="1"/>
  <c r="O23" i="1"/>
  <c r="O26" i="1" s="1"/>
  <c r="O27" i="1" s="1"/>
</calcChain>
</file>

<file path=xl/sharedStrings.xml><?xml version="1.0" encoding="utf-8"?>
<sst xmlns="http://schemas.openxmlformats.org/spreadsheetml/2006/main" count="32" uniqueCount="32">
  <si>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</si>
  <si>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</si>
  <si>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</si>
  <si>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</si>
  <si>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</si>
  <si>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</si>
  <si>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</si>
  <si>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</si>
  <si>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</si>
  <si>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</si>
  <si>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</si>
  <si>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</si>
  <si>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Leads</t>
  </si>
  <si>
    <t>Total Leads</t>
  </si>
  <si>
    <t>Product 1</t>
  </si>
  <si>
    <t>Beginning Customers</t>
  </si>
  <si>
    <t>New Customers</t>
  </si>
  <si>
    <t>Churn %</t>
  </si>
  <si>
    <t>Churn</t>
  </si>
  <si>
    <t>Ending Customers</t>
  </si>
  <si>
    <t>Revenue (Existing Customers)</t>
  </si>
  <si>
    <t>Revenue (New Customers)</t>
  </si>
  <si>
    <t>Conversion %</t>
  </si>
  <si>
    <t>Returning Customers %</t>
  </si>
  <si>
    <t>Return Customers</t>
  </si>
  <si>
    <t>Total Revenue</t>
  </si>
  <si>
    <t>Basic Revenue Model Template</t>
  </si>
  <si>
    <t xml:space="preserve">Posters around campus </t>
  </si>
  <si>
    <t>Natural JCC traffic</t>
  </si>
  <si>
    <t>Online ads</t>
  </si>
  <si>
    <t>Social media</t>
  </si>
  <si>
    <t>Average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</si>
</sst>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00B05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0" tint="-0.2499465926084170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2" fillId="2" borderId="0" xfId="0" applyFont="1" applyFill="1"/>
    <xf numFmtId="164" fontId="0" fillId="0" borderId="1" xfId="1" applyNumberFormat="1" applyFont="1" applyBorder="1"/>
    <xf numFmtId="164" fontId="0" fillId="0" borderId="0" xfId="0" applyNumberFormat="1"/>
    <xf numFmtId="9" fontId="0" fillId="2" borderId="0" xfId="0" applyNumberFormat="1" applyFill="1"/>
    <xf numFmtId="164" fontId="0" fillId="2" borderId="0" xfId="1" applyNumberFormat="1" applyFont="1" applyFill="1"/>
    <xf numFmtId="44" fontId="0" fillId="2" borderId="0" xfId="2" applyFont="1" applyFill="1"/>
    <xf numFmtId="164" fontId="0" fillId="0" borderId="0" xfId="1" applyNumberFormat="1" applyFont="1"/>
    <xf numFmtId="0" fontId="0" fillId="2" borderId="2" xfId="0" applyFill="1" applyBorder="1"/>
    <xf numFmtId="0" fontId="3" fillId="3" borderId="0" xfId="0" applyFont="1" applyFill="1" applyAlignment="1">
      <alignment horizontal="right"/>
    </xf>
    <xf numFmtId="0" fontId="2" fillId="2" borderId="2" xfId="0" applyFont="1" applyFill="1" applyBorder="1"/>
    <xf numFmtId="9" fontId="0" fillId="0" borderId="0" xfId="3" applyFont="1"/>
    <xf numFmtId="165" fontId="0" fillId="0" borderId="0" xfId="2" applyNumberFormat="1" applyFont="1"/>
    <xf numFmtId="164" fontId="0" fillId="4" borderId="0" xfId="1" applyNumberFormat="1" applyFont="1" applyFill="1"/>
    <xf numFmtId="43" fontId="0" fillId="4" borderId="0" xfId="1" applyFont="1" applyFill="1"/>
    <xf numFmtId="9" fontId="0" fillId="4" borderId="0" xfId="3" applyFont="1" applyFill="1"/>
    <xf numFmtId="0" fontId="5" fillId="2" borderId="0" xfId="4" applyFont="1" applyFill="1" applyAlignment="1">
      <alignment horizontal="left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0E29-C5E9-174A-862A-CCAC95478243}">
  <dimension ref="A1:T44"/>
  <sheetViews>
    <sheetView tabSelected="1" zoomScale="105" zoomScaleNormal="100" workbookViewId="0">
      <selection activeCell="P26" sqref="P26"/>
    </sheetView>
  </sheetViews>
  <sheetFormatPr baseColWidth="10" defaultColWidth="11" defaultRowHeight="16" x14ac:dyDescent="0.2"/>
  <cols>
    <col min="1" max="1" width="5.33203125" customWidth="1"/>
    <col min="3" max="3" width="25.83203125" bestFit="1" customWidth="1"/>
    <col min="4" max="15" width="11.5" bestFit="1" customWidth="1"/>
  </cols>
  <sheetData>
    <row r="1" spans="1:20" x14ac:dyDescent="0.2">
      <c r="A1" s="2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">
      <c r="A3" s="1"/>
      <c r="B3" s="1"/>
      <c r="C3" s="1"/>
      <c r="D3" s="10" t="s">
        <v>0</v>
      </c>
      <c r="E3" s="10" t="s">
        <v>1</v>
      </c>
      <c r="F3" s="10" t="s">
        <v>2</v>
      </c>
      <c r="G3" s="10" t="s">
        <v>3</v>
      </c>
      <c r="H3" s="10" t="s">
        <v>4</v>
      </c>
      <c r="I3" s="10" t="s">
        <v>5</v>
      </c>
      <c r="J3" s="10" t="s">
        <v>6</v>
      </c>
      <c r="K3" s="10" t="s">
        <v>7</v>
      </c>
      <c r="L3" s="10" t="s">
        <v>8</v>
      </c>
      <c r="M3" s="10" t="s">
        <v>9</v>
      </c>
      <c r="N3" s="10" t="s">
        <v>10</v>
      </c>
      <c r="O3" s="10" t="s">
        <v>11</v>
      </c>
      <c r="P3" s="1"/>
      <c r="Q3" s="1"/>
      <c r="R3" s="1"/>
      <c r="S3" s="1"/>
      <c r="T3" s="1"/>
    </row>
    <row r="4" spans="1:20" x14ac:dyDescent="0.2">
      <c r="A4" s="1"/>
      <c r="B4" s="1"/>
      <c r="C4" s="9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"/>
      <c r="Q4" s="1"/>
      <c r="R4" s="1"/>
      <c r="S4" s="1"/>
      <c r="T4" s="1"/>
    </row>
    <row r="5" spans="1:20" x14ac:dyDescent="0.2">
      <c r="A5" s="1"/>
      <c r="B5" s="1"/>
      <c r="C5" s="11" t="s">
        <v>12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1"/>
      <c r="Q5" s="1"/>
      <c r="R5" s="1"/>
      <c r="S5" s="1"/>
      <c r="T5" s="1"/>
    </row>
    <row r="6" spans="1:20" x14ac:dyDescent="0.2">
      <c r="A6" s="1"/>
      <c r="B6" s="1"/>
      <c r="C6" s="9" t="s">
        <v>27</v>
      </c>
      <c r="D6" s="14">
        <v>300</v>
      </c>
      <c r="E6" s="14">
        <v>200</v>
      </c>
      <c r="F6" s="14">
        <v>200</v>
      </c>
      <c r="G6" s="14">
        <v>100</v>
      </c>
      <c r="H6" s="14">
        <v>50</v>
      </c>
      <c r="I6" s="14">
        <v>50</v>
      </c>
      <c r="J6" s="14">
        <v>20</v>
      </c>
      <c r="K6" s="14">
        <v>20</v>
      </c>
      <c r="L6" s="14">
        <v>10</v>
      </c>
      <c r="M6" s="14">
        <v>10</v>
      </c>
      <c r="N6" s="14">
        <v>10</v>
      </c>
      <c r="O6" s="14">
        <v>10</v>
      </c>
      <c r="P6" s="1"/>
      <c r="Q6" s="1"/>
      <c r="R6" s="1"/>
      <c r="S6" s="1"/>
      <c r="T6" s="1"/>
    </row>
    <row r="7" spans="1:20" x14ac:dyDescent="0.2">
      <c r="A7" s="1"/>
      <c r="B7" s="1"/>
      <c r="C7" s="9" t="s">
        <v>28</v>
      </c>
      <c r="D7" s="14">
        <v>4000</v>
      </c>
      <c r="E7" s="14">
        <v>2000</v>
      </c>
      <c r="F7" s="14">
        <v>1000</v>
      </c>
      <c r="G7" s="14">
        <v>500</v>
      </c>
      <c r="H7" s="14">
        <v>300</v>
      </c>
      <c r="I7" s="14">
        <v>100</v>
      </c>
      <c r="J7" s="14">
        <v>100</v>
      </c>
      <c r="K7" s="14">
        <v>100</v>
      </c>
      <c r="L7" s="14">
        <v>100</v>
      </c>
      <c r="M7" s="14">
        <v>100</v>
      </c>
      <c r="N7" s="14">
        <v>100</v>
      </c>
      <c r="O7" s="14">
        <v>1500</v>
      </c>
      <c r="P7" s="1"/>
      <c r="Q7" s="1"/>
      <c r="R7" s="1"/>
      <c r="S7" s="1"/>
      <c r="T7" s="1"/>
    </row>
    <row r="8" spans="1:20" x14ac:dyDescent="0.2">
      <c r="A8" s="1"/>
      <c r="B8" s="1"/>
      <c r="C8" s="9" t="s">
        <v>29</v>
      </c>
      <c r="D8" s="14">
        <v>75</v>
      </c>
      <c r="E8" s="14">
        <v>75</v>
      </c>
      <c r="F8" s="14">
        <v>75</v>
      </c>
      <c r="G8" s="14">
        <v>75</v>
      </c>
      <c r="H8" s="14">
        <v>75</v>
      </c>
      <c r="I8" s="14">
        <v>75</v>
      </c>
      <c r="J8" s="14">
        <v>75</v>
      </c>
      <c r="K8" s="14">
        <v>75</v>
      </c>
      <c r="L8" s="14">
        <v>75</v>
      </c>
      <c r="M8" s="14">
        <v>75</v>
      </c>
      <c r="N8" s="14">
        <v>75</v>
      </c>
      <c r="O8" s="14">
        <v>75</v>
      </c>
      <c r="P8" s="1"/>
      <c r="Q8" s="1"/>
      <c r="R8" s="1"/>
      <c r="S8" s="1"/>
      <c r="T8" s="1"/>
    </row>
    <row r="9" spans="1:20" x14ac:dyDescent="0.2">
      <c r="A9" s="1"/>
      <c r="B9" s="1"/>
      <c r="C9" s="9" t="s">
        <v>30</v>
      </c>
      <c r="D9" s="14">
        <v>100</v>
      </c>
      <c r="E9" s="14">
        <v>100</v>
      </c>
      <c r="F9" s="14">
        <v>100</v>
      </c>
      <c r="G9" s="14">
        <v>100</v>
      </c>
      <c r="H9" s="14">
        <v>100</v>
      </c>
      <c r="I9" s="14">
        <v>100</v>
      </c>
      <c r="J9" s="14">
        <v>100</v>
      </c>
      <c r="K9" s="14">
        <v>100</v>
      </c>
      <c r="L9" s="14">
        <v>100</v>
      </c>
      <c r="M9" s="14">
        <v>100</v>
      </c>
      <c r="N9" s="14">
        <v>100</v>
      </c>
      <c r="O9" s="14">
        <v>100</v>
      </c>
      <c r="P9" s="1"/>
      <c r="Q9" s="1"/>
      <c r="R9" s="1"/>
      <c r="S9" s="1"/>
      <c r="T9" s="1"/>
    </row>
    <row r="10" spans="1:20" x14ac:dyDescent="0.2">
      <c r="A10" s="1"/>
      <c r="B10" s="1"/>
      <c r="C10" s="9" t="s">
        <v>13</v>
      </c>
      <c r="D10" s="3">
        <f>SUM(D6:D9)</f>
        <v>4475</v>
      </c>
      <c r="E10" s="3">
        <f t="shared" ref="E10:O10" si="0">SUM(E6:E8)</f>
        <v>2275</v>
      </c>
      <c r="F10" s="3">
        <f t="shared" si="0"/>
        <v>1275</v>
      </c>
      <c r="G10" s="3">
        <f t="shared" si="0"/>
        <v>675</v>
      </c>
      <c r="H10" s="3">
        <f t="shared" si="0"/>
        <v>425</v>
      </c>
      <c r="I10" s="3">
        <f t="shared" si="0"/>
        <v>225</v>
      </c>
      <c r="J10" s="3">
        <f t="shared" si="0"/>
        <v>195</v>
      </c>
      <c r="K10" s="3">
        <f t="shared" si="0"/>
        <v>195</v>
      </c>
      <c r="L10" s="3">
        <f t="shared" si="0"/>
        <v>185</v>
      </c>
      <c r="M10" s="3">
        <f t="shared" si="0"/>
        <v>185</v>
      </c>
      <c r="N10" s="3">
        <f t="shared" si="0"/>
        <v>185</v>
      </c>
      <c r="O10" s="3">
        <f t="shared" si="0"/>
        <v>1585</v>
      </c>
      <c r="P10" s="1"/>
      <c r="Q10" s="1"/>
      <c r="R10" s="1"/>
      <c r="S10" s="1"/>
      <c r="T10" s="1"/>
    </row>
    <row r="11" spans="1:20" x14ac:dyDescent="0.2">
      <c r="A11" s="1"/>
      <c r="B11" s="1"/>
      <c r="C11" s="9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1"/>
      <c r="Q11" s="1"/>
      <c r="R11" s="1"/>
      <c r="S11" s="1"/>
      <c r="T11" s="1"/>
    </row>
    <row r="12" spans="1:20" x14ac:dyDescent="0.2">
      <c r="A12" s="1"/>
      <c r="B12" s="1"/>
      <c r="C12" s="11" t="s">
        <v>14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1"/>
      <c r="Q12" s="1"/>
      <c r="R12" s="1"/>
      <c r="S12" s="1"/>
      <c r="T12" s="1"/>
    </row>
    <row r="13" spans="1:20" x14ac:dyDescent="0.2">
      <c r="A13" s="1"/>
      <c r="B13" s="1"/>
      <c r="C13" s="9" t="s">
        <v>31</v>
      </c>
      <c r="D13" s="15">
        <v>12.5</v>
      </c>
      <c r="E13" s="15">
        <v>12.5</v>
      </c>
      <c r="F13" s="15">
        <v>12.5</v>
      </c>
      <c r="G13" s="15">
        <v>12.5</v>
      </c>
      <c r="H13" s="15">
        <v>12.5</v>
      </c>
      <c r="I13" s="15">
        <v>12.5</v>
      </c>
      <c r="J13" s="15">
        <v>12.5</v>
      </c>
      <c r="K13" s="15">
        <v>12.5</v>
      </c>
      <c r="L13" s="15">
        <v>12.5</v>
      </c>
      <c r="M13" s="15">
        <v>12.5</v>
      </c>
      <c r="N13" s="15">
        <v>12.5</v>
      </c>
      <c r="O13" s="15">
        <v>12.5</v>
      </c>
      <c r="P13" s="1"/>
      <c r="Q13" s="1"/>
      <c r="R13" s="1"/>
      <c r="S13" s="1"/>
      <c r="T13" s="1"/>
    </row>
    <row r="14" spans="1:20" x14ac:dyDescent="0.2">
      <c r="A14" s="1"/>
      <c r="B14" s="1"/>
      <c r="C14" s="9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"/>
      <c r="Q14" s="1"/>
      <c r="R14" s="1"/>
      <c r="S14" s="1"/>
      <c r="T14" s="1"/>
    </row>
    <row r="15" spans="1:20" x14ac:dyDescent="0.2">
      <c r="A15" s="1"/>
      <c r="B15" s="1"/>
      <c r="C15" s="9" t="s">
        <v>15</v>
      </c>
      <c r="D15" s="8">
        <v>0</v>
      </c>
      <c r="E15" s="8">
        <f>D20</f>
        <v>3356.25</v>
      </c>
      <c r="F15" s="8">
        <f t="shared" ref="F15:O15" si="1">E20</f>
        <v>4391.25</v>
      </c>
      <c r="G15" s="8">
        <f t="shared" si="1"/>
        <v>4469.25</v>
      </c>
      <c r="H15" s="8">
        <f t="shared" si="1"/>
        <v>4081.65</v>
      </c>
      <c r="I15" s="8">
        <f t="shared" si="1"/>
        <v>3477.8199999999997</v>
      </c>
      <c r="J15" s="8">
        <f t="shared" si="1"/>
        <v>2894.7559999999999</v>
      </c>
      <c r="K15" s="8">
        <f t="shared" si="1"/>
        <v>2413.3047999999999</v>
      </c>
      <c r="L15" s="8">
        <f t="shared" si="1"/>
        <v>2028.14384</v>
      </c>
      <c r="M15" s="8">
        <f t="shared" si="1"/>
        <v>1715.0150719999997</v>
      </c>
      <c r="N15" s="8">
        <f t="shared" si="1"/>
        <v>1464.5120575999997</v>
      </c>
      <c r="O15" s="8">
        <f t="shared" si="1"/>
        <v>1264.1096460799997</v>
      </c>
      <c r="P15" s="1"/>
      <c r="Q15" s="1"/>
      <c r="R15" s="1"/>
      <c r="S15" s="1"/>
      <c r="T15" s="1"/>
    </row>
    <row r="16" spans="1:20" x14ac:dyDescent="0.2">
      <c r="A16" s="1"/>
      <c r="B16" s="1"/>
      <c r="C16" s="9" t="s">
        <v>22</v>
      </c>
      <c r="D16" s="16">
        <v>0.75</v>
      </c>
      <c r="E16" s="16">
        <v>0.75</v>
      </c>
      <c r="F16" s="16">
        <v>0.75</v>
      </c>
      <c r="G16" s="16">
        <v>0.75</v>
      </c>
      <c r="H16" s="16">
        <v>0.5</v>
      </c>
      <c r="I16" s="16">
        <v>0.5</v>
      </c>
      <c r="J16" s="16">
        <v>0.5</v>
      </c>
      <c r="K16" s="16">
        <v>0.5</v>
      </c>
      <c r="L16" s="16">
        <v>0.5</v>
      </c>
      <c r="M16" s="16">
        <v>0.5</v>
      </c>
      <c r="N16" s="16">
        <v>0.5</v>
      </c>
      <c r="O16" s="16">
        <v>0.5</v>
      </c>
      <c r="P16" s="1"/>
      <c r="Q16" s="1"/>
      <c r="R16" s="1"/>
      <c r="S16" s="1"/>
      <c r="T16" s="1"/>
    </row>
    <row r="17" spans="1:20" x14ac:dyDescent="0.2">
      <c r="A17" s="1"/>
      <c r="B17" s="1"/>
      <c r="C17" s="9" t="s">
        <v>16</v>
      </c>
      <c r="D17" s="8">
        <f>D16*D10</f>
        <v>3356.25</v>
      </c>
      <c r="E17" s="8">
        <f t="shared" ref="E17:O17" si="2">E16*E10</f>
        <v>1706.25</v>
      </c>
      <c r="F17" s="8">
        <f t="shared" si="2"/>
        <v>956.25</v>
      </c>
      <c r="G17" s="8">
        <f t="shared" si="2"/>
        <v>506.25</v>
      </c>
      <c r="H17" s="8">
        <f t="shared" si="2"/>
        <v>212.5</v>
      </c>
      <c r="I17" s="8">
        <f t="shared" si="2"/>
        <v>112.5</v>
      </c>
      <c r="J17" s="8">
        <f t="shared" si="2"/>
        <v>97.5</v>
      </c>
      <c r="K17" s="8">
        <f t="shared" si="2"/>
        <v>97.5</v>
      </c>
      <c r="L17" s="8">
        <f t="shared" si="2"/>
        <v>92.5</v>
      </c>
      <c r="M17" s="8">
        <f t="shared" si="2"/>
        <v>92.5</v>
      </c>
      <c r="N17" s="8">
        <f t="shared" si="2"/>
        <v>92.5</v>
      </c>
      <c r="O17" s="8">
        <f t="shared" si="2"/>
        <v>792.5</v>
      </c>
      <c r="P17" s="1"/>
      <c r="Q17" s="1"/>
      <c r="R17" s="1"/>
      <c r="S17" s="1"/>
      <c r="T17" s="1"/>
    </row>
    <row r="18" spans="1:20" x14ac:dyDescent="0.2">
      <c r="A18" s="1"/>
      <c r="B18" s="1"/>
      <c r="C18" s="9" t="s">
        <v>17</v>
      </c>
      <c r="D18" s="16">
        <v>0.2</v>
      </c>
      <c r="E18" s="16">
        <v>0.2</v>
      </c>
      <c r="F18" s="16">
        <v>0.2</v>
      </c>
      <c r="G18" s="16">
        <v>0.2</v>
      </c>
      <c r="H18" s="16">
        <v>0.2</v>
      </c>
      <c r="I18" s="16">
        <v>0.2</v>
      </c>
      <c r="J18" s="16">
        <v>0.2</v>
      </c>
      <c r="K18" s="16">
        <v>0.2</v>
      </c>
      <c r="L18" s="16">
        <v>0.2</v>
      </c>
      <c r="M18" s="16">
        <v>0.2</v>
      </c>
      <c r="N18" s="16">
        <v>0.2</v>
      </c>
      <c r="O18" s="16">
        <v>0.3</v>
      </c>
      <c r="P18" s="1"/>
      <c r="Q18" s="1"/>
      <c r="R18" s="1"/>
      <c r="S18" s="1"/>
      <c r="T18" s="1"/>
    </row>
    <row r="19" spans="1:20" x14ac:dyDescent="0.2">
      <c r="A19" s="1"/>
      <c r="B19" s="1"/>
      <c r="C19" s="9" t="s">
        <v>18</v>
      </c>
      <c r="D19" s="8">
        <f>D18*D15</f>
        <v>0</v>
      </c>
      <c r="E19" s="8">
        <f t="shared" ref="E19:O19" si="3">E18*E15</f>
        <v>671.25</v>
      </c>
      <c r="F19" s="8">
        <f t="shared" si="3"/>
        <v>878.25</v>
      </c>
      <c r="G19" s="8">
        <f t="shared" si="3"/>
        <v>893.85</v>
      </c>
      <c r="H19" s="8">
        <f t="shared" si="3"/>
        <v>816.33</v>
      </c>
      <c r="I19" s="8">
        <f t="shared" si="3"/>
        <v>695.56399999999996</v>
      </c>
      <c r="J19" s="8">
        <f t="shared" si="3"/>
        <v>578.95119999999997</v>
      </c>
      <c r="K19" s="8">
        <f t="shared" si="3"/>
        <v>482.66095999999999</v>
      </c>
      <c r="L19" s="8">
        <f t="shared" si="3"/>
        <v>405.62876800000004</v>
      </c>
      <c r="M19" s="8">
        <f t="shared" si="3"/>
        <v>343.00301439999998</v>
      </c>
      <c r="N19" s="8">
        <f t="shared" si="3"/>
        <v>292.90241151999993</v>
      </c>
      <c r="O19" s="8">
        <f t="shared" si="3"/>
        <v>379.23289382399992</v>
      </c>
      <c r="P19" s="1"/>
      <c r="Q19" s="1"/>
      <c r="R19" s="1"/>
      <c r="S19" s="1"/>
      <c r="T19" s="1"/>
    </row>
    <row r="20" spans="1:20" x14ac:dyDescent="0.2">
      <c r="A20" s="1"/>
      <c r="B20" s="1"/>
      <c r="C20" s="9" t="s">
        <v>19</v>
      </c>
      <c r="D20" s="8">
        <f>D15+D17-D19</f>
        <v>3356.25</v>
      </c>
      <c r="E20" s="8">
        <f t="shared" ref="E20:O20" si="4">E15+E17-E19</f>
        <v>4391.25</v>
      </c>
      <c r="F20" s="8">
        <f t="shared" si="4"/>
        <v>4469.25</v>
      </c>
      <c r="G20" s="8">
        <f t="shared" si="4"/>
        <v>4081.65</v>
      </c>
      <c r="H20" s="8">
        <f>H15+H17-H19</f>
        <v>3477.8199999999997</v>
      </c>
      <c r="I20" s="8">
        <f t="shared" si="4"/>
        <v>2894.7559999999999</v>
      </c>
      <c r="J20" s="8">
        <f t="shared" si="4"/>
        <v>2413.3047999999999</v>
      </c>
      <c r="K20" s="8">
        <f t="shared" si="4"/>
        <v>2028.14384</v>
      </c>
      <c r="L20" s="8">
        <f t="shared" si="4"/>
        <v>1715.0150719999997</v>
      </c>
      <c r="M20" s="8">
        <f t="shared" si="4"/>
        <v>1464.5120575999997</v>
      </c>
      <c r="N20" s="8">
        <f t="shared" si="4"/>
        <v>1264.1096460799997</v>
      </c>
      <c r="O20" s="8">
        <f t="shared" si="4"/>
        <v>1677.3767522560001</v>
      </c>
      <c r="P20" s="1"/>
      <c r="Q20" s="1"/>
      <c r="R20" s="1"/>
      <c r="S20" s="1"/>
      <c r="T20" s="1"/>
    </row>
    <row r="21" spans="1:20" x14ac:dyDescent="0.2">
      <c r="A21" s="1"/>
      <c r="B21" s="1"/>
      <c r="C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"/>
      <c r="Q21" s="1"/>
      <c r="R21" s="1"/>
      <c r="S21" s="1"/>
      <c r="T21" s="1"/>
    </row>
    <row r="22" spans="1:20" x14ac:dyDescent="0.2">
      <c r="A22" s="1"/>
      <c r="B22" s="1"/>
      <c r="C22" s="9" t="s">
        <v>23</v>
      </c>
      <c r="D22" s="16">
        <v>0.8</v>
      </c>
      <c r="E22" s="16">
        <v>0.8</v>
      </c>
      <c r="F22" s="16">
        <v>0.8</v>
      </c>
      <c r="G22" s="16">
        <v>0.8</v>
      </c>
      <c r="H22" s="16">
        <v>0.8</v>
      </c>
      <c r="I22" s="16">
        <v>0.8</v>
      </c>
      <c r="J22" s="16">
        <v>0.8</v>
      </c>
      <c r="K22" s="16">
        <v>0.8</v>
      </c>
      <c r="L22" s="16">
        <v>0.8</v>
      </c>
      <c r="M22" s="16">
        <v>0.8</v>
      </c>
      <c r="N22" s="16">
        <v>0.8</v>
      </c>
      <c r="O22" s="16">
        <v>0.7</v>
      </c>
      <c r="P22" s="1"/>
      <c r="Q22" s="1"/>
      <c r="R22" s="1"/>
      <c r="S22" s="1"/>
      <c r="T22" s="1"/>
    </row>
    <row r="23" spans="1:20" x14ac:dyDescent="0.2">
      <c r="A23" s="1"/>
      <c r="B23" s="1"/>
      <c r="C23" s="9" t="s">
        <v>24</v>
      </c>
      <c r="D23" s="4">
        <f>D15*D22</f>
        <v>0</v>
      </c>
      <c r="E23" s="4">
        <f t="shared" ref="E23:O23" si="5">E15*E22</f>
        <v>2685</v>
      </c>
      <c r="F23" s="4">
        <f t="shared" si="5"/>
        <v>3513</v>
      </c>
      <c r="G23" s="4">
        <f>G15*G22</f>
        <v>3575.4</v>
      </c>
      <c r="H23" s="4">
        <f t="shared" si="5"/>
        <v>3265.32</v>
      </c>
      <c r="I23" s="4">
        <f t="shared" si="5"/>
        <v>2782.2559999999999</v>
      </c>
      <c r="J23" s="4">
        <f t="shared" si="5"/>
        <v>2315.8047999999999</v>
      </c>
      <c r="K23" s="4">
        <f t="shared" si="5"/>
        <v>1930.64384</v>
      </c>
      <c r="L23" s="4">
        <f t="shared" si="5"/>
        <v>1622.5150720000001</v>
      </c>
      <c r="M23" s="4">
        <f t="shared" si="5"/>
        <v>1372.0120575999999</v>
      </c>
      <c r="N23" s="4">
        <f t="shared" si="5"/>
        <v>1171.6096460799997</v>
      </c>
      <c r="O23" s="4">
        <f t="shared" si="5"/>
        <v>884.8767522559998</v>
      </c>
      <c r="P23" s="1"/>
      <c r="Q23" s="1"/>
      <c r="R23" s="1"/>
      <c r="S23" s="1"/>
      <c r="T23" s="1"/>
    </row>
    <row r="24" spans="1:20" x14ac:dyDescent="0.2">
      <c r="A24" s="1"/>
      <c r="B24" s="1"/>
      <c r="C24" s="9"/>
      <c r="P24" s="1"/>
      <c r="Q24" s="1"/>
      <c r="R24" s="1"/>
      <c r="S24" s="1"/>
      <c r="T24" s="1"/>
    </row>
    <row r="25" spans="1:20" x14ac:dyDescent="0.2">
      <c r="A25" s="1"/>
      <c r="B25" s="1"/>
      <c r="C25" s="9" t="s">
        <v>21</v>
      </c>
      <c r="D25" s="13">
        <f t="shared" ref="D25:O25" si="6">D17*D13</f>
        <v>41953.125</v>
      </c>
      <c r="E25" s="13">
        <f t="shared" si="6"/>
        <v>21328.125</v>
      </c>
      <c r="F25" s="13">
        <f t="shared" si="6"/>
        <v>11953.125</v>
      </c>
      <c r="G25" s="13">
        <f>G17*G13</f>
        <v>6328.125</v>
      </c>
      <c r="H25" s="13">
        <f t="shared" si="6"/>
        <v>2656.25</v>
      </c>
      <c r="I25" s="13">
        <f t="shared" si="6"/>
        <v>1406.25</v>
      </c>
      <c r="J25" s="13">
        <f t="shared" si="6"/>
        <v>1218.75</v>
      </c>
      <c r="K25" s="13">
        <f t="shared" si="6"/>
        <v>1218.75</v>
      </c>
      <c r="L25" s="13">
        <f t="shared" si="6"/>
        <v>1156.25</v>
      </c>
      <c r="M25" s="13">
        <f t="shared" si="6"/>
        <v>1156.25</v>
      </c>
      <c r="N25" s="13">
        <f t="shared" si="6"/>
        <v>1156.25</v>
      </c>
      <c r="O25" s="13">
        <f t="shared" si="6"/>
        <v>9906.25</v>
      </c>
      <c r="P25" s="1"/>
      <c r="Q25" s="1"/>
      <c r="R25" s="1"/>
      <c r="S25" s="1"/>
      <c r="T25" s="1"/>
    </row>
    <row r="26" spans="1:20" x14ac:dyDescent="0.2">
      <c r="A26" s="1"/>
      <c r="B26" s="1"/>
      <c r="C26" s="9" t="s">
        <v>20</v>
      </c>
      <c r="D26" s="13">
        <f>D23*D13</f>
        <v>0</v>
      </c>
      <c r="E26" s="13">
        <f t="shared" ref="E26:O26" si="7">E23*E13</f>
        <v>33562.5</v>
      </c>
      <c r="F26" s="13">
        <f t="shared" si="7"/>
        <v>43912.5</v>
      </c>
      <c r="G26" s="13">
        <f t="shared" si="7"/>
        <v>44692.5</v>
      </c>
      <c r="H26" s="13">
        <f t="shared" si="7"/>
        <v>40816.5</v>
      </c>
      <c r="I26" s="13">
        <f t="shared" si="7"/>
        <v>34778.199999999997</v>
      </c>
      <c r="J26" s="13">
        <f t="shared" si="7"/>
        <v>28947.559999999998</v>
      </c>
      <c r="K26" s="13">
        <f t="shared" si="7"/>
        <v>24133.047999999999</v>
      </c>
      <c r="L26" s="13">
        <f t="shared" si="7"/>
        <v>20281.438400000003</v>
      </c>
      <c r="M26" s="13">
        <f t="shared" si="7"/>
        <v>17150.150719999998</v>
      </c>
      <c r="N26" s="13">
        <f t="shared" si="7"/>
        <v>14645.120575999996</v>
      </c>
      <c r="O26" s="13">
        <f t="shared" si="7"/>
        <v>11060.959403199997</v>
      </c>
      <c r="P26" s="1"/>
      <c r="Q26" s="1"/>
      <c r="R26" s="1"/>
      <c r="S26" s="1"/>
      <c r="T26" s="1"/>
    </row>
    <row r="27" spans="1:20" x14ac:dyDescent="0.2">
      <c r="A27" s="1"/>
      <c r="B27" s="1"/>
      <c r="C27" s="9" t="s">
        <v>25</v>
      </c>
      <c r="D27" s="13">
        <f>SUM(D25:D26)</f>
        <v>41953.125</v>
      </c>
      <c r="E27" s="13">
        <f t="shared" ref="E27:O27" si="8">SUM(E25:E26)</f>
        <v>54890.625</v>
      </c>
      <c r="F27" s="13">
        <f t="shared" si="8"/>
        <v>55865.625</v>
      </c>
      <c r="G27" s="13">
        <f t="shared" si="8"/>
        <v>51020.625</v>
      </c>
      <c r="H27" s="13">
        <f t="shared" si="8"/>
        <v>43472.75</v>
      </c>
      <c r="I27" s="13">
        <f t="shared" si="8"/>
        <v>36184.449999999997</v>
      </c>
      <c r="J27" s="13">
        <f t="shared" si="8"/>
        <v>30166.309999999998</v>
      </c>
      <c r="K27" s="13">
        <f t="shared" si="8"/>
        <v>25351.797999999999</v>
      </c>
      <c r="L27" s="13">
        <f t="shared" si="8"/>
        <v>21437.688400000003</v>
      </c>
      <c r="M27" s="13">
        <f t="shared" si="8"/>
        <v>18306.400719999998</v>
      </c>
      <c r="N27" s="13">
        <f t="shared" si="8"/>
        <v>15801.370575999996</v>
      </c>
      <c r="O27" s="13">
        <f t="shared" si="8"/>
        <v>20967.209403199995</v>
      </c>
      <c r="P27" s="1"/>
      <c r="Q27" s="1"/>
      <c r="R27" s="1"/>
      <c r="S27" s="1"/>
      <c r="T27" s="1"/>
    </row>
    <row r="28" spans="1:20" x14ac:dyDescent="0.2">
      <c r="A28" s="1"/>
      <c r="B28" s="1"/>
      <c r="C28" s="9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"/>
      <c r="Q28" s="1"/>
      <c r="R28" s="1"/>
      <c r="S28" s="1"/>
      <c r="T28" s="1"/>
    </row>
    <row r="29" spans="1:2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">
      <c r="A32" s="1"/>
      <c r="B32" s="1"/>
      <c r="C32" s="1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1"/>
      <c r="Q32" s="1"/>
      <c r="R32" s="1"/>
      <c r="S32" s="1"/>
      <c r="T32" s="1"/>
    </row>
    <row r="33" spans="1:2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9" x14ac:dyDescent="0.25">
      <c r="A34" s="1"/>
      <c r="B34" s="17"/>
      <c r="C34" s="1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">
      <c r="A36" s="1"/>
      <c r="B36" s="1"/>
      <c r="C36" s="1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1"/>
      <c r="Q36" s="1"/>
      <c r="R36" s="1"/>
      <c r="S36" s="1"/>
      <c r="T36" s="1"/>
    </row>
    <row r="37" spans="1:2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">
      <c r="A38" s="1"/>
      <c r="B38" s="1"/>
      <c r="C38" s="2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1"/>
      <c r="Q38" s="1"/>
      <c r="R38" s="1"/>
      <c r="S38" s="1"/>
      <c r="T38" s="1"/>
    </row>
    <row r="39" spans="1:2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">
      <c r="A40" s="1"/>
      <c r="B40" s="1"/>
      <c r="C40" s="1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1"/>
      <c r="Q40" s="1"/>
      <c r="R40" s="1"/>
      <c r="S40" s="1"/>
      <c r="T40" s="1"/>
    </row>
    <row r="41" spans="1:2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">
      <c r="A43" s="1"/>
      <c r="B43" s="1"/>
      <c r="C43" s="1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1"/>
      <c r="Q43" s="1"/>
      <c r="R43" s="1"/>
      <c r="S43" s="1"/>
      <c r="T43" s="1"/>
    </row>
    <row r="44" spans="1:20" x14ac:dyDescent="0.2">
      <c r="A44" s="1"/>
      <c r="B44" s="1"/>
      <c r="C44" s="1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1"/>
      <c r="Q44" s="1"/>
      <c r="R44" s="1"/>
      <c r="S44" s="1"/>
      <c r="T44" s="1"/>
    </row>
  </sheetData>
  <mergeCells count="1">
    <mergeCell ref="B34:C34"/>
  </mergeCells>
  <phoneticPr fontId="4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Crossley</dc:creator>
  <cp:lastModifiedBy>Roy, Brendan R</cp:lastModifiedBy>
  <dcterms:created xsi:type="dcterms:W3CDTF">2021-04-16T03:57:12Z</dcterms:created>
  <dcterms:modified xsi:type="dcterms:W3CDTF">2025-11-10T22:12:14Z</dcterms:modified>
</cp:coreProperties>
</file>